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HRC\GoogleDrive_ii\data_science\data_science_gitstuff\"/>
    </mc:Choice>
  </mc:AlternateContent>
  <xr:revisionPtr revIDLastSave="0" documentId="13_ncr:1_{658EE2EE-EE77-4C20-9F8E-D1488EDB1A02}" xr6:coauthVersionLast="47" xr6:coauthVersionMax="47" xr10:uidLastSave="{00000000-0000-0000-0000-000000000000}"/>
  <bookViews>
    <workbookView xWindow="-110" yWindow="-110" windowWidth="19420" windowHeight="11500" xr2:uid="{BA96D642-7666-4DC1-B7ED-B22C53B62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3" i="1"/>
  <c r="E4" i="1"/>
  <c r="E5" i="1"/>
  <c r="E2" i="1"/>
  <c r="D3" i="1"/>
  <c r="D4" i="1"/>
  <c r="D5" i="1"/>
  <c r="D6" i="1"/>
  <c r="F6" i="1" s="1"/>
  <c r="D7" i="1"/>
  <c r="D8" i="1"/>
  <c r="D9" i="1"/>
  <c r="D2" i="1"/>
  <c r="F5" i="1" l="1"/>
  <c r="F3" i="1"/>
  <c r="F2" i="1"/>
  <c r="F4" i="1"/>
  <c r="F7" i="1"/>
  <c r="F9" i="1"/>
  <c r="F8" i="1"/>
</calcChain>
</file>

<file path=xl/sharedStrings.xml><?xml version="1.0" encoding="utf-8"?>
<sst xmlns="http://schemas.openxmlformats.org/spreadsheetml/2006/main" count="13" uniqueCount="13">
  <si>
    <t>Start Month</t>
  </si>
  <si>
    <t>Start Month/Year</t>
  </si>
  <si>
    <t>End Month/Year</t>
  </si>
  <si>
    <t>Duration (Months)</t>
  </si>
  <si>
    <t>Qualitative narratives structured for AI training</t>
  </si>
  <si>
    <t>Expanded warehouse with APIs, interoperability validated</t>
  </si>
  <si>
    <t>Annotated framework linking local expressions to CMD categories</t>
  </si>
  <si>
    <t>Mobile and Web Applications</t>
  </si>
  <si>
    <t>Usability dataset (AI summaries, screening scale data, session logs)</t>
  </si>
  <si>
    <t>Harmonized datasets</t>
  </si>
  <si>
    <t>Interactive Multimorbidity dashboard online</t>
  </si>
  <si>
    <t>Cleaned, interoperable dataset of ≥10,000 cases</t>
  </si>
  <si>
    <t>Activity from Gantt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</si>
</sst>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5AAF-74C3-4AC4-BDC5-3AA15C08DFBC}">
  <dimension ref="A1:F9"/>
  <sheetViews>
    <sheetView tabSelected="1" workbookViewId="0">
      <pane ySplit="1" topLeftCell="A2" activePane="bottomLeft" state="frozen"/>
      <selection pane="bottomLeft" activeCell="A15" sqref="A15"/>
    </sheetView>
  </sheetViews>
  <sheetFormatPr defaultRowHeight="14.5" x14ac:dyDescent="0.35"/>
  <cols>
    <col min="1" max="1" width="55.7265625" bestFit="1" customWidth="1"/>
    <col min="2" max="2" width="10.453125" bestFit="1" customWidth="1"/>
    <col min="3" max="3" width="16" bestFit="1" customWidth="1"/>
    <col min="4" max="4" width="15" bestFit="1" customWidth="1"/>
    <col min="5" max="5" width="14.1796875" bestFit="1" customWidth="1"/>
    <col min="6" max="6" width="14.54296875" bestFit="1" customWidth="1"/>
    <col min="7" max="7" width="13.6328125" bestFit="1" customWidth="1"/>
  </cols>
  <sheetData>
    <row r="1" spans="1:6" s="1" customFormat="1" x14ac:dyDescent="0.35">
      <c r="A1" s="1" t="s">
        <v>12</v>
      </c>
      <c r="B1" s="2" t="s">
        <v>0</v>
      </c>
      <c r="C1" s="1" t="s">
        <v>3</v>
      </c>
      <c r="D1" s="1" t="s">
        <v>1</v>
      </c>
      <c r="E1" s="1" t="s">
        <v>2</v>
      </c>
    </row>
    <row r="2" spans="1:6" x14ac:dyDescent="0.35">
      <c r="A2" t="s">
        <v>9</v>
      </c>
      <c r="B2">
        <v>2</v>
      </c>
      <c r="C2">
        <v>12</v>
      </c>
      <c r="D2" t="str">
        <f>TEXT(EDATE(DATE(2026,4,1),B2-1),"mmm yyyy")</f>
        <v>May 2026</v>
      </c>
      <c r="E2" t="str">
        <f>TEXT(EDATE(DATE(2026,4,1),B2+C2-2),"mmm yyyy")</f>
        <v>Apr 2027</v>
      </c>
      <c r="F2" t="str">
        <f>"The project will produce "&amp;A2&amp;"(start month is "&amp;D2&amp;" and end month is "&amp;E2&amp;")"</f>
        <v>The project will produce Harmonized datasets(start month is May 2026 and end month is Apr 2027)</v>
      </c>
    </row>
    <row r="3" spans="1:6" x14ac:dyDescent="0.35">
      <c r="A3" t="s">
        <v>11</v>
      </c>
      <c r="B3">
        <v>3</v>
      </c>
      <c r="C3">
        <v>12</v>
      </c>
      <c r="D3" t="str">
        <f t="shared" ref="D3:D9" si="0">TEXT(EDATE(DATE(2026,4,1),B3-1),"mmm yyyy")</f>
        <v>Jun 2026</v>
      </c>
      <c r="E3" t="str">
        <f t="shared" ref="E3:E9" si="1">TEXT(EDATE(DATE(2026,4,1),B3+C3-2),"mmm yyyy")</f>
        <v>May 2027</v>
      </c>
      <c r="F3" t="str">
        <f t="shared" ref="F3:F9" si="2">"The project will produce "&amp;A3&amp;"(start month is "&amp;D3&amp;" and end month is "&amp;E3&amp;")"</f>
        <v>The project will produce Cleaned, interoperable dataset of ≥10,000 cases(start month is Jun 2026 and end month is May 2027)</v>
      </c>
    </row>
    <row r="4" spans="1:6" x14ac:dyDescent="0.35">
      <c r="A4" t="s">
        <v>4</v>
      </c>
      <c r="B4">
        <v>4</v>
      </c>
      <c r="C4">
        <v>10</v>
      </c>
      <c r="D4" t="str">
        <f t="shared" si="0"/>
        <v>Jul 2026</v>
      </c>
      <c r="E4" t="str">
        <f t="shared" si="1"/>
        <v>Apr 2027</v>
      </c>
      <c r="F4" t="str">
        <f t="shared" si="2"/>
        <v>The project will produce Qualitative narratives structured for AI training(start month is Jul 2026 and end month is Apr 2027)</v>
      </c>
    </row>
    <row r="5" spans="1:6" x14ac:dyDescent="0.35">
      <c r="A5" t="s">
        <v>5</v>
      </c>
      <c r="B5">
        <v>9</v>
      </c>
      <c r="C5">
        <v>18</v>
      </c>
      <c r="D5" t="str">
        <f t="shared" si="0"/>
        <v>Dec 2026</v>
      </c>
      <c r="E5" t="str">
        <f t="shared" si="1"/>
        <v>May 2028</v>
      </c>
      <c r="F5" t="str">
        <f t="shared" si="2"/>
        <v>The project will produce Expanded warehouse with APIs, interoperability validated(start month is Dec 2026 and end month is May 2028)</v>
      </c>
    </row>
    <row r="6" spans="1:6" x14ac:dyDescent="0.35">
      <c r="A6" t="s">
        <v>6</v>
      </c>
      <c r="B6">
        <v>5</v>
      </c>
      <c r="C6">
        <v>12</v>
      </c>
      <c r="D6" t="str">
        <f t="shared" si="0"/>
        <v>Aug 2026</v>
      </c>
      <c r="E6" t="str">
        <f t="shared" si="1"/>
        <v>Jul 2027</v>
      </c>
      <c r="F6" t="str">
        <f t="shared" si="2"/>
        <v>The project will produce Annotated framework linking local expressions to CMD categories(start month is Aug 2026 and end month is Jul 2027)</v>
      </c>
    </row>
    <row r="7" spans="1:6" x14ac:dyDescent="0.35">
      <c r="A7" t="s">
        <v>7</v>
      </c>
      <c r="B7">
        <v>14</v>
      </c>
      <c r="C7">
        <v>18</v>
      </c>
      <c r="D7" t="str">
        <f t="shared" si="0"/>
        <v>May 2027</v>
      </c>
      <c r="E7" t="str">
        <f t="shared" si="1"/>
        <v>Oct 2028</v>
      </c>
      <c r="F7" t="str">
        <f t="shared" si="2"/>
        <v>The project will produce Mobile and Web Applications(start month is May 2027 and end month is Oct 2028)</v>
      </c>
    </row>
    <row r="8" spans="1:6" x14ac:dyDescent="0.35">
      <c r="A8" t="s">
        <v>8</v>
      </c>
      <c r="B8">
        <v>12</v>
      </c>
      <c r="C8">
        <v>20</v>
      </c>
      <c r="D8" t="str">
        <f t="shared" si="0"/>
        <v>Mar 2027</v>
      </c>
      <c r="E8" t="str">
        <f t="shared" si="1"/>
        <v>Oct 2028</v>
      </c>
      <c r="F8" t="str">
        <f t="shared" si="2"/>
        <v>The project will produce Usability dataset (AI summaries, screening scale data, session logs)(start month is Mar 2027 and end month is Oct 2028)</v>
      </c>
    </row>
    <row r="9" spans="1:6" x14ac:dyDescent="0.35">
      <c r="A9" t="s">
        <v>10</v>
      </c>
      <c r="B9">
        <v>18</v>
      </c>
      <c r="C9">
        <v>22</v>
      </c>
      <c r="D9" t="str">
        <f t="shared" si="0"/>
        <v>Sept 2027</v>
      </c>
      <c r="E9" t="str">
        <f t="shared" si="1"/>
        <v>Jun 2029</v>
      </c>
      <c r="F9" t="str">
        <f t="shared" si="2"/>
        <v>The project will produce Interactive Multimorbidity dashboard online(start month is Sept 2027 and end month is Jun 2029)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Maina</dc:creator>
  <cp:lastModifiedBy>Daniel Maina</cp:lastModifiedBy>
  <dcterms:created xsi:type="dcterms:W3CDTF">2025-11-17T10:35:52Z</dcterms:created>
  <dcterms:modified xsi:type="dcterms:W3CDTF">2025-11-17T12:35:11Z</dcterms:modified>
</cp:coreProperties>
</file>